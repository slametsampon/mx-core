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294\Documents\Projects\mx-core\plugins\mx-core-docs\docs\"/>
    </mc:Choice>
  </mc:AlternateContent>
  <xr:revisionPtr revIDLastSave="0" documentId="8_{625150FB-621B-487B-849C-9BB206241D75}" xr6:coauthVersionLast="47" xr6:coauthVersionMax="47" xr10:uidLastSave="{00000000-0000-0000-0000-000000000000}"/>
  <bookViews>
    <workbookView xWindow="0" yWindow="0" windowWidth="15990" windowHeight="15585" xr2:uid="{B3C35E9E-9BD3-4AD9-97FB-E1A22F9DDE03}"/>
  </bookViews>
  <sheets>
    <sheet name="orifice-design-template" sheetId="3" r:id="rId1"/>
    <sheet name="Sheet1" sheetId="1" r:id="rId2"/>
  </sheets>
  <definedNames>
    <definedName name="ExternalData_2" localSheetId="0" hidden="1">'orifice-design-template'!$A$1:$B$15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B14" i="3"/>
  <c r="B12" i="3"/>
  <c r="B11" i="3"/>
  <c r="B10" i="3"/>
  <c r="B9" i="3"/>
  <c r="B1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254051-32EF-4EF8-9316-66E3C0D2B577}" keepAlive="1" name="Query - orifice-design-template" description="Connection to the 'orifice-design-template' query in the workbook." type="5" refreshedVersion="0" background="1">
    <dbPr connection="Provider=Microsoft.Mashup.OleDb.1;Data Source=$Workbook$;Location=orifice-design-template;Extended Properties=&quot;&quot;" command="SELECT * FROM [orifice-design-template]"/>
  </connection>
  <connection id="2" xr16:uid="{90734245-3722-4442-ACE7-5E502E37B8E5}" keepAlive="1" name="Query - orifice-design-template (2)" description="Connection to the 'orifice-design-template (2)' query in the workbook." type="5" refreshedVersion="8" background="1" saveData="1">
    <dbPr connection="Provider=Microsoft.Mashup.OleDb.1;Data Source=$Workbook$;Location=&quot;orifice-design-template (2)&quot;;Extended Properties=&quot;&quot;" command="SELECT * FROM [orifice-design-template (2)]"/>
  </connection>
</connections>
</file>

<file path=xl/sharedStrings.xml><?xml version="1.0" encoding="utf-8"?>
<sst xmlns="http://schemas.openxmlformats.org/spreadsheetml/2006/main" count="16" uniqueCount="16">
  <si>
    <t>Parameter</t>
  </si>
  <si>
    <t>Value</t>
  </si>
  <si>
    <t>D</t>
  </si>
  <si>
    <t>d</t>
  </si>
  <si>
    <t>t</t>
  </si>
  <si>
    <t>beta</t>
  </si>
  <si>
    <t>Ap</t>
  </si>
  <si>
    <t>Ao</t>
  </si>
  <si>
    <t>t_d</t>
  </si>
  <si>
    <t>rho</t>
  </si>
  <si>
    <t>mu</t>
  </si>
  <si>
    <t>Cd</t>
  </si>
  <si>
    <t>DeltaP</t>
  </si>
  <si>
    <t>Q</t>
  </si>
  <si>
    <t>V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</si>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</sst>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3775168-5252-4DD6-869C-E2B3DFF5C0F8}" autoFormatId="16" applyNumberFormats="0" applyBorderFormats="0" applyFontFormats="0" applyPatternFormats="0" applyAlignmentFormats="0" applyWidthHeightFormats="0">
  <queryTableRefresh nextId="5">
    <queryTableFields count="2">
      <queryTableField id="1" name="Parameter" tableColumnId="1"/>
      <queryTableField id="2" name="Value" tableColumnId="2"/>
    </queryTableFields>
    <queryTableDeletedFields count="2">
      <deletedField name="Formula"/>
      <deletedField name="Resul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AC3047-E5A8-48A2-9E85-A7379F0E700F}" name="orifice_design_template__2" displayName="orifice_design_template__2" ref="A1:B15" tableType="queryTable" totalsRowShown="0">
  <autoFilter ref="A1:B15" xr:uid="{A3AC3047-E5A8-48A2-9E85-A7379F0E700F}"/>
  <tableColumns count="2">
    <tableColumn id="1" xr3:uid="{6C289D1B-4884-4657-B4B6-A435B2ACCA40}" uniqueName="1" name="Parameter" queryTableFieldId="1" dataDxfId="0"/>
    <tableColumn id="2" xr3:uid="{6381530D-28A7-46BA-A6FA-6DC2582C9CD2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4112-2E51-4CEE-B724-CC779DC743F8}">
  <dimension ref="A1:B15"/>
  <sheetViews>
    <sheetView tabSelected="1" workbookViewId="0">
      <selection activeCell="D21" sqref="D21"/>
    </sheetView>
  </sheetViews>
  <sheetFormatPr defaultRowHeight="15" x14ac:dyDescent="0.25"/>
  <cols>
    <col min="1" max="1" width="12.5703125" bestFit="1" customWidth="1"/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0.1023</v>
      </c>
    </row>
    <row r="3" spans="1:2" x14ac:dyDescent="0.25">
      <c r="A3" s="1" t="s">
        <v>3</v>
      </c>
      <c r="B3">
        <v>6.1379999999999997E-2</v>
      </c>
    </row>
    <row r="4" spans="1:2" x14ac:dyDescent="0.25">
      <c r="A4" s="1" t="s">
        <v>4</v>
      </c>
      <c r="B4">
        <v>5.0000000000000001E-3</v>
      </c>
    </row>
    <row r="5" spans="1:2" x14ac:dyDescent="0.25">
      <c r="A5" s="1" t="s">
        <v>11</v>
      </c>
      <c r="B5">
        <v>0.61</v>
      </c>
    </row>
    <row r="6" spans="1:2" x14ac:dyDescent="0.25">
      <c r="A6" s="1" t="s">
        <v>9</v>
      </c>
      <c r="B6">
        <v>1000</v>
      </c>
    </row>
    <row r="7" spans="1:2" x14ac:dyDescent="0.25">
      <c r="A7" s="1" t="s">
        <v>10</v>
      </c>
      <c r="B7">
        <v>1E-3</v>
      </c>
    </row>
    <row r="8" spans="1:2" x14ac:dyDescent="0.25">
      <c r="A8" s="1" t="s">
        <v>12</v>
      </c>
      <c r="B8">
        <v>13360</v>
      </c>
    </row>
    <row r="9" spans="1:2" x14ac:dyDescent="0.25">
      <c r="A9" s="1" t="s">
        <v>5</v>
      </c>
      <c r="B9" s="1">
        <f>B3/B2</f>
        <v>0.6</v>
      </c>
    </row>
    <row r="10" spans="1:2" x14ac:dyDescent="0.25">
      <c r="A10" s="1" t="s">
        <v>6</v>
      </c>
      <c r="B10" s="1">
        <f>PI()*B2^2/4</f>
        <v>8.2194195454216822E-3</v>
      </c>
    </row>
    <row r="11" spans="1:2" x14ac:dyDescent="0.25">
      <c r="A11" s="1" t="s">
        <v>7</v>
      </c>
      <c r="B11" s="1">
        <f>PI()*B3^2/4</f>
        <v>2.958991036351805E-3</v>
      </c>
    </row>
    <row r="12" spans="1:2" x14ac:dyDescent="0.25">
      <c r="A12" s="1" t="s">
        <v>8</v>
      </c>
      <c r="B12" s="1">
        <f>B4/B3</f>
        <v>8.1459758879113719E-2</v>
      </c>
    </row>
    <row r="13" spans="1:2" x14ac:dyDescent="0.25">
      <c r="A13" s="1" t="s">
        <v>13</v>
      </c>
      <c r="B13">
        <f>B5*B11*SQRT((2*B8)/(B6*(1-B9^4)))</f>
        <v>1.0000743078568707E-2</v>
      </c>
    </row>
    <row r="14" spans="1:2" x14ac:dyDescent="0.25">
      <c r="A14" s="1" t="s">
        <v>14</v>
      </c>
      <c r="B14">
        <f>B13/B10</f>
        <v>1.2167213296879635</v>
      </c>
    </row>
    <row r="15" spans="1:2" x14ac:dyDescent="0.25">
      <c r="A15" s="1" t="s">
        <v>15</v>
      </c>
      <c r="B15">
        <f>(B6*B14*B2)/B7</f>
        <v>124470.59202707867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8700-5C9D-4EAF-A824-CB5902CA74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56F61-1D1F-41E9-8469-4AF77497D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orifice-design-template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Slamet slamet</dc:creator>
  <cp:lastModifiedBy>Slamet slamet</cp:lastModifiedBy>
  <dcterms:created xsi:type="dcterms:W3CDTF">2026-06-12T09:11:52Z</dcterms:created>
  <dcterms:modified xsi:type="dcterms:W3CDTF">2026-06-12T09:50:41Z</dcterms:modified>
</cp:coreProperties>
</file>