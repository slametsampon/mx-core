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rojects\mx-core\plugins\mx-core-docs\docs\"/>
    </mc:Choice>
  </mc:AlternateContent>
  <xr:revisionPtr revIDLastSave="0" documentId="13_ncr:1_{561E8AAF-BEA6-49E1-8A71-5F46D458A086}" xr6:coauthVersionLast="47" xr6:coauthVersionMax="47" xr10:uidLastSave="{00000000-0000-0000-0000-000000000000}"/>
  <bookViews>
    <workbookView xWindow="45" yWindow="0" windowWidth="14475" windowHeight="15600" xr2:uid="{B3C35E9E-9BD3-4AD9-97FB-E1A22F9DDE03}"/>
  </bookViews>
  <sheets>
    <sheet name="orifice-design-template" sheetId="3" r:id="rId1"/>
    <sheet name="Sheet1" sheetId="1" r:id="rId2"/>
  </sheets>
  <definedNames>
    <definedName name="ExternalData_2" localSheetId="0" hidden="1">'orifice-design-template'!$A$1:$B$15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3" l="1"/>
  <c r="G8" i="3"/>
  <c r="G10" i="3" s="1"/>
  <c r="G11" i="3" s="1"/>
  <c r="G7" i="3"/>
  <c r="G5" i="3"/>
  <c r="F9" i="3"/>
  <c r="F8" i="3"/>
  <c r="F7" i="3"/>
  <c r="F10" i="3" s="1"/>
  <c r="F5" i="3"/>
  <c r="E5" i="3"/>
  <c r="E7" i="3"/>
  <c r="E8" i="3"/>
  <c r="E9" i="3"/>
  <c r="C12" i="3"/>
  <c r="C11" i="3"/>
  <c r="C10" i="3"/>
  <c r="C9" i="3"/>
  <c r="B12" i="3"/>
  <c r="B11" i="3"/>
  <c r="B10" i="3"/>
  <c r="B9" i="3"/>
  <c r="F13" i="3" l="1"/>
  <c r="F15" i="3" s="1"/>
  <c r="F11" i="3"/>
  <c r="F14" i="3" s="1"/>
  <c r="E10" i="3"/>
  <c r="E13" i="3" s="1"/>
  <c r="E15" i="3" s="1"/>
  <c r="C13" i="3"/>
  <c r="C14" i="3" s="1"/>
  <c r="C15" i="3" s="1"/>
  <c r="B13" i="3"/>
  <c r="B14" i="3" s="1"/>
  <c r="B15" i="3" s="1"/>
  <c r="E11" i="3" l="1"/>
  <c r="E1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254051-32EF-4EF8-9316-66E3C0D2B577}" keepAlive="1" name="Query - orifice-design-template" description="Connection to the 'orifice-design-template' query in the workbook." type="5" refreshedVersion="0" background="1">
    <dbPr connection="Provider=Microsoft.Mashup.OleDb.1;Data Source=$Workbook$;Location=orifice-design-template;Extended Properties=&quot;&quot;" command="SELECT * FROM [orifice-design-template]"/>
  </connection>
  <connection id="2" xr16:uid="{90734245-3722-4442-ACE7-5E502E37B8E5}" keepAlive="1" name="Query - orifice-design-template (2)" description="Connection to the 'orifice-design-template (2)' query in the workbook." type="5" refreshedVersion="8" background="1" saveData="1">
    <dbPr connection="Provider=Microsoft.Mashup.OleDb.1;Data Source=$Workbook$;Location=&quot;orifice-design-template (2)&quot;;Extended Properties=&quot;&quot;" command="SELECT * FROM [orifice-design-template (2)]"/>
  </connection>
</connections>
</file>

<file path=xl/sharedStrings.xml><?xml version="1.0" encoding="utf-8"?>
<sst xmlns="http://schemas.openxmlformats.org/spreadsheetml/2006/main" count="60" uniqueCount="56">
  <si>
    <t>Parameter</t>
  </si>
  <si>
    <t>Value</t>
  </si>
  <si>
    <t>D</t>
  </si>
  <si>
    <t>d</t>
  </si>
  <si>
    <t>t</t>
  </si>
  <si>
    <t>beta</t>
  </si>
  <si>
    <t>Ap</t>
  </si>
  <si>
    <t>Ao</t>
  </si>
  <si>
    <t>t_d</t>
  </si>
  <si>
    <t>rho</t>
  </si>
  <si>
    <t>mu</t>
  </si>
  <si>
    <t>Cd</t>
  </si>
  <si>
    <t>DeltaP</t>
  </si>
  <si>
    <t>Q</t>
  </si>
  <si>
    <t>V</t>
  </si>
  <si>
    <t>Re</t>
  </si>
  <si>
    <t>Column1</t>
  </si>
  <si>
    <t>B2 = d</t>
  </si>
  <si>
    <t>B3 = t</t>
  </si>
  <si>
    <t>B4 = Cd</t>
  </si>
  <si>
    <t>B5 = rho_air</t>
  </si>
  <si>
    <t>B6 = DeltaP_Pa</t>
  </si>
  <si>
    <t>B7 = Ao</t>
  </si>
  <si>
    <t>B8 = t/d</t>
  </si>
  <si>
    <t>B9 = Qhole_m3s</t>
  </si>
  <si>
    <t>B10 = Qhole_Lmin</t>
  </si>
  <si>
    <t>B11 = N</t>
  </si>
  <si>
    <t>B12 = Qtotal_m3s</t>
  </si>
  <si>
    <t>B13 = Qtotal_Lmin</t>
  </si>
  <si>
    <t>B14 = Qtotal_m3h</t>
  </si>
  <si>
    <t>Parameter,Value</t>
  </si>
  <si>
    <t>d,0.001</t>
  </si>
  <si>
    <t>t,0.002</t>
  </si>
  <si>
    <t>Cd,0.75</t>
  </si>
  <si>
    <t>rho_air,1.145</t>
  </si>
  <si>
    <t>DeltaP_mmH2O,100</t>
  </si>
  <si>
    <t>DeltaP_Pa,=B5*9.80665</t>
  </si>
  <si>
    <t>Ao,=PI()*B2^2/4</t>
  </si>
  <si>
    <t>t_d,=B3/B2</t>
  </si>
  <si>
    <t>Qhole_m3s,=B4*B7*SQRT((2*B6)/B5)</t>
  </si>
  <si>
    <t>Qhole_Lmin,=B9*60000</t>
  </si>
  <si>
    <t>N,100</t>
  </si>
  <si>
    <t>Qtotal_m3s,=B9*B11</t>
  </si>
  <si>
    <t>Qtotal_Lmin,=B10*B11</t>
  </si>
  <si>
    <t>Qtotal_m3h,=B12*3600</t>
  </si>
  <si>
    <t>Column2</t>
  </si>
  <si>
    <t>rho_air</t>
  </si>
  <si>
    <t>DeltaP_Pa</t>
  </si>
  <si>
    <t>DeltaP_mmH2O</t>
  </si>
  <si>
    <t>t/d</t>
  </si>
  <si>
    <t>Qhole_Lmin</t>
  </si>
  <si>
    <t>Qhole_m3s</t>
  </si>
  <si>
    <t>N</t>
  </si>
  <si>
    <t>Qtotal_m3s</t>
  </si>
  <si>
    <t>Qtotal_Lmin</t>
  </si>
  <si>
    <t>Qtotal_m3h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</si>
</sst>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/>
    </xf>
    <xf numFmtId="171" fontId="0" fillId="0" borderId="0" xfId="0" applyNumberFormat="1"/>
  </cellXfs>
  <cellStyles count="1">
    <cellStyle name="Normal" xfId="0" builtinId="0"/>
  </cellStyles>
  <dxfs count="2"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3775168-5252-4DD6-869C-E2B3DFF5C0F8}" autoFormatId="16" applyNumberFormats="0" applyBorderFormats="0" applyFontFormats="0" applyPatternFormats="0" applyAlignmentFormats="0" applyWidthHeightFormats="0">
  <queryTableRefresh nextId="7" unboundColumnsRight="2">
    <queryTableFields count="4">
      <queryTableField id="1" name="Parameter" tableColumnId="1"/>
      <queryTableField id="2" name="Value" tableColumnId="2"/>
      <queryTableField id="5" dataBound="0" tableColumnId="3"/>
      <queryTableField id="6" dataBound="0" tableColumnId="4"/>
    </queryTableFields>
    <queryTableDeletedFields count="2">
      <deletedField name="Formula"/>
      <deletedField name="Resul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AC3047-E5A8-48A2-9E85-A7379F0E700F}" name="orifice_design_template__2" displayName="orifice_design_template__2" ref="A1:D15" tableType="queryTable" totalsRowShown="0">
  <autoFilter ref="A1:D15" xr:uid="{A3AC3047-E5A8-48A2-9E85-A7379F0E700F}"/>
  <tableColumns count="4">
    <tableColumn id="1" xr3:uid="{6C289D1B-4884-4657-B4B6-A435B2ACCA40}" uniqueName="1" name="Parameter" queryTableFieldId="1" dataDxfId="1"/>
    <tableColumn id="2" xr3:uid="{6381530D-28A7-46BA-A6FA-6DC2582C9CD2}" uniqueName="2" name="Value" queryTableFieldId="2"/>
    <tableColumn id="3" xr3:uid="{15DBB202-766C-4976-9D07-2C019E0852DA}" uniqueName="3" name="Column1" queryTableFieldId="5"/>
    <tableColumn id="4" xr3:uid="{F73D8FA8-4F1B-429E-926B-230212A6D9F1}" uniqueName="4" name="Column2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4112-2E51-4CEE-B724-CC779DC743F8}">
  <dimension ref="A1:J15"/>
  <sheetViews>
    <sheetView tabSelected="1" workbookViewId="0">
      <selection activeCell="G4" sqref="G4"/>
    </sheetView>
  </sheetViews>
  <sheetFormatPr defaultRowHeight="15" x14ac:dyDescent="0.25"/>
  <cols>
    <col min="1" max="1" width="12.5703125" bestFit="1" customWidth="1"/>
    <col min="2" max="2" width="17.85546875" customWidth="1"/>
    <col min="4" max="4" width="16.5703125" style="2" customWidth="1"/>
    <col min="5" max="5" width="12" bestFit="1" customWidth="1"/>
    <col min="6" max="6" width="12.7109375" customWidth="1"/>
    <col min="7" max="7" width="11.7109375" customWidth="1"/>
  </cols>
  <sheetData>
    <row r="1" spans="1:10" x14ac:dyDescent="0.25">
      <c r="A1" t="s">
        <v>0</v>
      </c>
      <c r="B1" t="s">
        <v>1</v>
      </c>
      <c r="C1" t="s">
        <v>16</v>
      </c>
      <c r="D1" s="2" t="s">
        <v>45</v>
      </c>
      <c r="J1" t="s">
        <v>30</v>
      </c>
    </row>
    <row r="2" spans="1:10" x14ac:dyDescent="0.25">
      <c r="A2" t="s">
        <v>2</v>
      </c>
      <c r="B2">
        <v>0.1023</v>
      </c>
      <c r="C2">
        <v>1E-3</v>
      </c>
      <c r="D2" s="2" t="s">
        <v>3</v>
      </c>
      <c r="E2">
        <v>1E-3</v>
      </c>
      <c r="F2">
        <v>1E-3</v>
      </c>
      <c r="G2">
        <v>5.0000000000000001E-4</v>
      </c>
      <c r="H2" t="s">
        <v>17</v>
      </c>
      <c r="J2" t="s">
        <v>31</v>
      </c>
    </row>
    <row r="3" spans="1:10" x14ac:dyDescent="0.25">
      <c r="A3" t="s">
        <v>3</v>
      </c>
      <c r="B3">
        <v>6.1379999999999997E-2</v>
      </c>
      <c r="C3">
        <v>1E-3</v>
      </c>
      <c r="D3" s="2" t="s">
        <v>4</v>
      </c>
      <c r="E3">
        <v>2E-3</v>
      </c>
      <c r="F3">
        <v>2.3E-3</v>
      </c>
      <c r="G3">
        <v>2E-3</v>
      </c>
      <c r="H3" t="s">
        <v>18</v>
      </c>
      <c r="J3" t="s">
        <v>32</v>
      </c>
    </row>
    <row r="4" spans="1:10" x14ac:dyDescent="0.25">
      <c r="A4" t="s">
        <v>4</v>
      </c>
      <c r="B4">
        <v>5.0000000000000001E-3</v>
      </c>
      <c r="C4">
        <v>2E-3</v>
      </c>
      <c r="D4" s="2" t="s">
        <v>11</v>
      </c>
      <c r="E4">
        <v>0.75</v>
      </c>
      <c r="F4">
        <v>0.75</v>
      </c>
      <c r="G4">
        <v>0.75</v>
      </c>
      <c r="H4" t="s">
        <v>19</v>
      </c>
      <c r="J4" t="s">
        <v>33</v>
      </c>
    </row>
    <row r="5" spans="1:10" x14ac:dyDescent="0.25">
      <c r="A5" t="s">
        <v>11</v>
      </c>
      <c r="B5">
        <v>0.61</v>
      </c>
      <c r="C5">
        <v>0.75</v>
      </c>
      <c r="D5" s="2" t="s">
        <v>46</v>
      </c>
      <c r="E5" s="1">
        <f>1145/1000</f>
        <v>1.145</v>
      </c>
      <c r="F5" s="1">
        <f>1145/1000</f>
        <v>1.145</v>
      </c>
      <c r="G5" s="1">
        <f>1145/1000</f>
        <v>1.145</v>
      </c>
      <c r="H5" t="s">
        <v>20</v>
      </c>
      <c r="J5" t="s">
        <v>34</v>
      </c>
    </row>
    <row r="6" spans="1:10" x14ac:dyDescent="0.25">
      <c r="A6" t="s">
        <v>9</v>
      </c>
      <c r="B6">
        <v>1000</v>
      </c>
      <c r="C6">
        <v>1000</v>
      </c>
      <c r="D6" s="2" t="s">
        <v>48</v>
      </c>
      <c r="E6">
        <v>100</v>
      </c>
      <c r="F6">
        <v>50</v>
      </c>
      <c r="G6">
        <v>50</v>
      </c>
      <c r="H6" t="s">
        <v>21</v>
      </c>
      <c r="J6" t="s">
        <v>35</v>
      </c>
    </row>
    <row r="7" spans="1:10" x14ac:dyDescent="0.25">
      <c r="A7" t="s">
        <v>10</v>
      </c>
      <c r="B7">
        <v>1E-3</v>
      </c>
      <c r="C7">
        <v>1E-3</v>
      </c>
      <c r="D7" s="2" t="s">
        <v>47</v>
      </c>
      <c r="E7">
        <f>E6*9.80665</f>
        <v>980.66499999999996</v>
      </c>
      <c r="F7" s="3">
        <f>F6*9.80665</f>
        <v>490.33249999999998</v>
      </c>
      <c r="G7" s="3">
        <f>G6*9.80665</f>
        <v>490.33249999999998</v>
      </c>
      <c r="H7" t="s">
        <v>22</v>
      </c>
      <c r="J7" t="s">
        <v>36</v>
      </c>
    </row>
    <row r="8" spans="1:10" x14ac:dyDescent="0.25">
      <c r="A8" t="s">
        <v>12</v>
      </c>
      <c r="B8">
        <v>13360</v>
      </c>
      <c r="C8">
        <v>13360</v>
      </c>
      <c r="D8" s="2" t="s">
        <v>7</v>
      </c>
      <c r="E8">
        <f>PI()*E2^2/4</f>
        <v>7.8539816339744823E-7</v>
      </c>
      <c r="F8">
        <f>PI()*F2^2/4</f>
        <v>7.8539816339744823E-7</v>
      </c>
      <c r="G8">
        <f>PI()*G2^2/4</f>
        <v>1.9634954084936206E-7</v>
      </c>
      <c r="H8" t="s">
        <v>23</v>
      </c>
      <c r="J8" t="s">
        <v>37</v>
      </c>
    </row>
    <row r="9" spans="1:10" x14ac:dyDescent="0.25">
      <c r="A9" t="s">
        <v>5</v>
      </c>
      <c r="B9">
        <f>B3/B2</f>
        <v>0.6</v>
      </c>
      <c r="C9">
        <f>C3/C2</f>
        <v>1</v>
      </c>
      <c r="D9" s="2" t="s">
        <v>49</v>
      </c>
      <c r="E9">
        <f>E3/E2</f>
        <v>2</v>
      </c>
      <c r="F9">
        <f>F3/F2</f>
        <v>2.2999999999999998</v>
      </c>
      <c r="G9">
        <f>G3/G2</f>
        <v>4</v>
      </c>
      <c r="H9" t="s">
        <v>24</v>
      </c>
      <c r="J9" t="s">
        <v>38</v>
      </c>
    </row>
    <row r="10" spans="1:10" x14ac:dyDescent="0.25">
      <c r="A10" t="s">
        <v>6</v>
      </c>
      <c r="B10">
        <f>PI()*B2^2/4</f>
        <v>8.2194195454216822E-3</v>
      </c>
      <c r="C10">
        <f>PI()*C2^2/4</f>
        <v>7.8539816339744823E-7</v>
      </c>
      <c r="D10" s="2" t="s">
        <v>51</v>
      </c>
      <c r="E10">
        <f>E4*E8*SQRT((2*E7)/E5)</f>
        <v>2.4379440643528977E-5</v>
      </c>
      <c r="F10" s="3">
        <f>F4*F8*SQRT((2*F7)/F5)</f>
        <v>1.7238867800574269E-5</v>
      </c>
      <c r="G10" s="3">
        <f>G4*G8*SQRT((2*G7)/G5)</f>
        <v>4.3097169501435673E-6</v>
      </c>
      <c r="H10" t="s">
        <v>25</v>
      </c>
      <c r="J10" t="s">
        <v>39</v>
      </c>
    </row>
    <row r="11" spans="1:10" x14ac:dyDescent="0.25">
      <c r="A11" t="s">
        <v>7</v>
      </c>
      <c r="B11">
        <f>PI()*B3^2/4</f>
        <v>2.958991036351805E-3</v>
      </c>
      <c r="C11">
        <f>PI()*C3^2/4</f>
        <v>7.8539816339744823E-7</v>
      </c>
      <c r="D11" s="2" t="s">
        <v>50</v>
      </c>
      <c r="E11">
        <f>E10*60000</f>
        <v>1.4627664386117387</v>
      </c>
      <c r="F11" s="3">
        <f>F10*60000</f>
        <v>1.0343320680344561</v>
      </c>
      <c r="G11" s="3">
        <f>G10*60000</f>
        <v>0.25858301700861402</v>
      </c>
      <c r="H11" t="s">
        <v>26</v>
      </c>
      <c r="J11" t="s">
        <v>40</v>
      </c>
    </row>
    <row r="12" spans="1:10" x14ac:dyDescent="0.25">
      <c r="A12" t="s">
        <v>8</v>
      </c>
      <c r="B12">
        <f>B4/B3</f>
        <v>8.1459758879113719E-2</v>
      </c>
      <c r="C12">
        <f>C4/C3</f>
        <v>2</v>
      </c>
      <c r="D12" s="2" t="s">
        <v>52</v>
      </c>
      <c r="E12">
        <v>100</v>
      </c>
      <c r="F12">
        <v>23</v>
      </c>
      <c r="H12" t="s">
        <v>27</v>
      </c>
      <c r="J12" t="s">
        <v>41</v>
      </c>
    </row>
    <row r="13" spans="1:10" x14ac:dyDescent="0.25">
      <c r="A13" t="s">
        <v>13</v>
      </c>
      <c r="B13">
        <f>B5*B11*SQRT((2*B8)/(B6*(1-B9^4)))</f>
        <v>1.0000743078568707E-2</v>
      </c>
      <c r="C13" t="e">
        <f>C5*C11*SQRT((2*C8)/(C6*(1-C9^4)))</f>
        <v>#DIV/0!</v>
      </c>
      <c r="D13" s="2" t="s">
        <v>53</v>
      </c>
      <c r="E13">
        <f>E10*E12</f>
        <v>2.4379440643528976E-3</v>
      </c>
      <c r="F13" s="3">
        <f>F10*F12</f>
        <v>3.9649395941320821E-4</v>
      </c>
      <c r="H13" t="s">
        <v>28</v>
      </c>
      <c r="J13" t="s">
        <v>42</v>
      </c>
    </row>
    <row r="14" spans="1:10" x14ac:dyDescent="0.25">
      <c r="A14" t="s">
        <v>14</v>
      </c>
      <c r="B14">
        <f>B13/B10</f>
        <v>1.2167213296879635</v>
      </c>
      <c r="C14" t="e">
        <f>C13/C10</f>
        <v>#DIV/0!</v>
      </c>
      <c r="D14" s="2" t="s">
        <v>54</v>
      </c>
      <c r="E14">
        <f>E11*E12</f>
        <v>146.27664386117388</v>
      </c>
      <c r="F14" s="3">
        <f>F11*F12</f>
        <v>23.789637564792489</v>
      </c>
      <c r="H14" t="s">
        <v>29</v>
      </c>
      <c r="J14" t="s">
        <v>43</v>
      </c>
    </row>
    <row r="15" spans="1:10" x14ac:dyDescent="0.25">
      <c r="A15" t="s">
        <v>15</v>
      </c>
      <c r="B15">
        <f>(B6*B14*B2)/B7</f>
        <v>124470.59202707867</v>
      </c>
      <c r="C15" t="e">
        <f>(C6*C14*C2)/C7</f>
        <v>#DIV/0!</v>
      </c>
      <c r="D15" s="2" t="s">
        <v>55</v>
      </c>
      <c r="E15">
        <f>E13*3600</f>
        <v>8.7765986316704314</v>
      </c>
      <c r="F15" s="3">
        <f>F13*3600</f>
        <v>1.4273782538875495</v>
      </c>
      <c r="J15" t="s">
        <v>44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8700-5C9D-4EAF-A824-CB5902CA74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F56F61-1D1F-41E9-8469-4AF77497D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orifice-design-template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Slamet slamet</dc:creator>
  <cp:lastModifiedBy>Petro Oxo Nusantara</cp:lastModifiedBy>
  <dcterms:created xsi:type="dcterms:W3CDTF">2026-06-12T09:11:52Z</dcterms:created>
  <dcterms:modified xsi:type="dcterms:W3CDTF">2026-06-21T10:58:34Z</dcterms:modified>
</cp:coreProperties>
</file>